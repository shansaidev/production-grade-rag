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Leave Tracker" sheetId="2" state="visible" r:id="rId2"/>
    <sheet xmlns:r="http://schemas.openxmlformats.org/officeDocument/2006/relationships" name="Q2 Budget vs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#,##0;(#,##0);-"/>
    <numFmt numFmtId="166" formatCode="0.0%;(0.0%);-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27500A"/>
      <sz val="9"/>
    </font>
    <font>
      <name val="Calibri"/>
      <b val="1"/>
      <color rgb="000C447C"/>
      <sz val="9"/>
    </font>
    <font>
      <name val="Calibri"/>
      <b val="1"/>
      <color rgb="00633806"/>
      <sz val="9"/>
    </font>
    <font>
      <name val="Calibri"/>
      <b val="1"/>
      <color rgb="00000000"/>
      <sz val="11"/>
    </font>
    <font>
      <name val="Calibri"/>
      <color rgb="00000000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9" fillId="10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3" fontId="9" fillId="10" borderId="1" applyAlignment="1" pivotButton="0" quotePrefix="0" xfId="0">
      <alignment horizontal="center" vertical="center" wrapText="1"/>
    </xf>
    <xf numFmtId="165" fontId="9" fillId="10" borderId="1" applyAlignment="1" pivotButton="0" quotePrefix="0" xfId="0">
      <alignment horizontal="center" vertical="center" wrapText="1"/>
    </xf>
    <xf numFmtId="166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5" customWidth="1" min="5" max="5"/>
    <col width="13" customWidth="1" min="6" max="6"/>
    <col width="18" customWidth="1" min="7" max="7"/>
    <col width="18" customWidth="1" min="8" max="8"/>
  </cols>
  <sheetData>
    <row r="1" ht="28" customHeight="1">
      <c r="A1" s="1" t="inlineStr">
        <is>
          <t>ACME CORPORATION — Engineering Headcount &amp; Compensation Report (Q2 2026)</t>
        </is>
      </c>
    </row>
    <row r="2" ht="16" customHeight="1">
      <c r="A2" s="2" t="inlineStr">
        <is>
          <t>Confidential — HR &amp; Finance Use Only</t>
        </is>
      </c>
    </row>
    <row r="3" ht="26" customHeight="1">
      <c r="A3" s="3" t="inlineStr">
        <is>
          <t>Employee ID</t>
        </is>
      </c>
      <c r="B3" s="3" t="inlineStr">
        <is>
          <t>Name</t>
        </is>
      </c>
      <c r="C3" s="3" t="inlineStr">
        <is>
          <t>Department</t>
        </is>
      </c>
      <c r="D3" s="3" t="inlineStr">
        <is>
          <t>Level</t>
        </is>
      </c>
      <c r="E3" s="3" t="inlineStr">
        <is>
          <t>Location</t>
        </is>
      </c>
      <c r="F3" s="3" t="inlineStr">
        <is>
          <t>Start Date</t>
        </is>
      </c>
      <c r="G3" s="3" t="inlineStr">
        <is>
          <t>Base Salary ($)</t>
        </is>
      </c>
      <c r="H3" s="3" t="inlineStr">
        <is>
          <t>Performance Rating</t>
        </is>
      </c>
    </row>
    <row r="4" ht="20" customHeight="1">
      <c r="A4" s="4" t="inlineStr">
        <is>
          <t>EMP-001</t>
        </is>
      </c>
      <c r="B4" s="5" t="inlineStr">
        <is>
          <t>Sarah Chen</t>
        </is>
      </c>
      <c r="C4" s="5" t="inlineStr">
        <is>
          <t>Platform Eng</t>
        </is>
      </c>
      <c r="D4" s="4" t="inlineStr">
        <is>
          <t>Staff Eng</t>
        </is>
      </c>
      <c r="E4" s="4" t="inlineStr">
        <is>
          <t>San Francisco, CA</t>
        </is>
      </c>
      <c r="F4" s="4" t="inlineStr">
        <is>
          <t>2021-03-15</t>
        </is>
      </c>
      <c r="G4" s="6" t="n">
        <v>195000</v>
      </c>
      <c r="H4" s="7" t="inlineStr">
        <is>
          <t>Exceptional</t>
        </is>
      </c>
    </row>
    <row r="5" ht="20" customHeight="1">
      <c r="A5" s="8" t="inlineStr">
        <is>
          <t>EMP-002</t>
        </is>
      </c>
      <c r="B5" s="9" t="inlineStr">
        <is>
          <t>Marcus Obi</t>
        </is>
      </c>
      <c r="C5" s="9" t="inlineStr">
        <is>
          <t>Platform Eng</t>
        </is>
      </c>
      <c r="D5" s="8" t="inlineStr">
        <is>
          <t>Senior Eng</t>
        </is>
      </c>
      <c r="E5" s="8" t="inlineStr">
        <is>
          <t>New York, NY</t>
        </is>
      </c>
      <c r="F5" s="8" t="inlineStr">
        <is>
          <t>2022-07-01</t>
        </is>
      </c>
      <c r="G5" s="10" t="n">
        <v>168000</v>
      </c>
      <c r="H5" s="11" t="inlineStr">
        <is>
          <t>Exceeds</t>
        </is>
      </c>
    </row>
    <row r="6" ht="20" customHeight="1">
      <c r="A6" s="4" t="inlineStr">
        <is>
          <t>EMP-003</t>
        </is>
      </c>
      <c r="B6" s="5" t="inlineStr">
        <is>
          <t>Priya Sharma</t>
        </is>
      </c>
      <c r="C6" s="5" t="inlineStr">
        <is>
          <t>Data Science</t>
        </is>
      </c>
      <c r="D6" s="4" t="inlineStr">
        <is>
          <t>Senior Eng</t>
        </is>
      </c>
      <c r="E6" s="4" t="inlineStr">
        <is>
          <t>Remote - CA</t>
        </is>
      </c>
      <c r="F6" s="4" t="inlineStr">
        <is>
          <t>2023-01-10</t>
        </is>
      </c>
      <c r="G6" s="6" t="n">
        <v>162000</v>
      </c>
      <c r="H6" s="12" t="inlineStr">
        <is>
          <t>Meets</t>
        </is>
      </c>
    </row>
    <row r="7" ht="20" customHeight="1">
      <c r="A7" s="8" t="inlineStr">
        <is>
          <t>EMP-004</t>
        </is>
      </c>
      <c r="B7" s="9" t="inlineStr">
        <is>
          <t>James O'Brien</t>
        </is>
      </c>
      <c r="C7" s="9" t="inlineStr">
        <is>
          <t>Security</t>
        </is>
      </c>
      <c r="D7" s="8" t="inlineStr">
        <is>
          <t>Principal Eng</t>
        </is>
      </c>
      <c r="E7" s="8" t="inlineStr">
        <is>
          <t>Austin, TX</t>
        </is>
      </c>
      <c r="F7" s="8" t="inlineStr">
        <is>
          <t>2019-11-20</t>
        </is>
      </c>
      <c r="G7" s="10" t="n">
        <v>215000</v>
      </c>
      <c r="H7" s="7" t="inlineStr">
        <is>
          <t>Exceptional</t>
        </is>
      </c>
    </row>
    <row r="8" ht="20" customHeight="1">
      <c r="A8" s="4" t="inlineStr">
        <is>
          <t>EMP-005</t>
        </is>
      </c>
      <c r="B8" s="5" t="inlineStr">
        <is>
          <t>Liu Wei</t>
        </is>
      </c>
      <c r="C8" s="5" t="inlineStr">
        <is>
          <t>Platform Eng</t>
        </is>
      </c>
      <c r="D8" s="4" t="inlineStr">
        <is>
          <t>Mid-Level Eng</t>
        </is>
      </c>
      <c r="E8" s="4" t="inlineStr">
        <is>
          <t>San Francisco, CA</t>
        </is>
      </c>
      <c r="F8" s="4" t="inlineStr">
        <is>
          <t>2024-02-05</t>
        </is>
      </c>
      <c r="G8" s="6" t="n">
        <v>138000</v>
      </c>
      <c r="H8" s="12" t="inlineStr">
        <is>
          <t>Meets</t>
        </is>
      </c>
    </row>
    <row r="9" ht="20" customHeight="1">
      <c r="A9" s="8" t="inlineStr">
        <is>
          <t>EMP-006</t>
        </is>
      </c>
      <c r="B9" s="9" t="inlineStr">
        <is>
          <t>Amara Diallo</t>
        </is>
      </c>
      <c r="C9" s="9" t="inlineStr">
        <is>
          <t>Data Science</t>
        </is>
      </c>
      <c r="D9" s="8" t="inlineStr">
        <is>
          <t>Mid-Level Eng</t>
        </is>
      </c>
      <c r="E9" s="8" t="inlineStr">
        <is>
          <t>Remote - NY</t>
        </is>
      </c>
      <c r="F9" s="8" t="inlineStr">
        <is>
          <t>2023-09-12</t>
        </is>
      </c>
      <c r="G9" s="10" t="n">
        <v>142000</v>
      </c>
      <c r="H9" s="11" t="inlineStr">
        <is>
          <t>Exceeds</t>
        </is>
      </c>
    </row>
    <row r="10" ht="20" customHeight="1">
      <c r="A10" s="4" t="inlineStr">
        <is>
          <t>EMP-007</t>
        </is>
      </c>
      <c r="B10" s="5" t="inlineStr">
        <is>
          <t>Raj Patel</t>
        </is>
      </c>
      <c r="C10" s="5" t="inlineStr">
        <is>
          <t>Platform Eng</t>
        </is>
      </c>
      <c r="D10" s="4" t="inlineStr">
        <is>
          <t>Staff Eng</t>
        </is>
      </c>
      <c r="E10" s="4" t="inlineStr">
        <is>
          <t>Seattle, WA</t>
        </is>
      </c>
      <c r="F10" s="4" t="inlineStr">
        <is>
          <t>2020-05-18</t>
        </is>
      </c>
      <c r="G10" s="6" t="n">
        <v>188000</v>
      </c>
      <c r="H10" s="11" t="inlineStr">
        <is>
          <t>Exceeds</t>
        </is>
      </c>
    </row>
    <row r="11" ht="20" customHeight="1">
      <c r="A11" s="8" t="inlineStr">
        <is>
          <t>EMP-008</t>
        </is>
      </c>
      <c r="B11" s="9" t="inlineStr">
        <is>
          <t>Emma Wilson</t>
        </is>
      </c>
      <c r="C11" s="9" t="inlineStr">
        <is>
          <t>Security</t>
        </is>
      </c>
      <c r="D11" s="8" t="inlineStr">
        <is>
          <t>Senior Eng</t>
        </is>
      </c>
      <c r="E11" s="8" t="inlineStr">
        <is>
          <t>Austin, TX</t>
        </is>
      </c>
      <c r="F11" s="8" t="inlineStr">
        <is>
          <t>2022-03-28</t>
        </is>
      </c>
      <c r="G11" s="10" t="n">
        <v>165000</v>
      </c>
      <c r="H11" s="12" t="inlineStr">
        <is>
          <t>Meets</t>
        </is>
      </c>
    </row>
    <row r="12" ht="20" customHeight="1">
      <c r="A12" s="4" t="inlineStr">
        <is>
          <t>EMP-009</t>
        </is>
      </c>
      <c r="B12" s="5" t="inlineStr">
        <is>
          <t>Chen Jing</t>
        </is>
      </c>
      <c r="C12" s="5" t="inlineStr">
        <is>
          <t>Data Science</t>
        </is>
      </c>
      <c r="D12" s="4" t="inlineStr">
        <is>
          <t>Principal Eng</t>
        </is>
      </c>
      <c r="E12" s="4" t="inlineStr">
        <is>
          <t>San Francisco, CA</t>
        </is>
      </c>
      <c r="F12" s="4" t="inlineStr">
        <is>
          <t>2018-08-14</t>
        </is>
      </c>
      <c r="G12" s="6" t="n">
        <v>228000</v>
      </c>
      <c r="H12" s="7" t="inlineStr">
        <is>
          <t>Exceptional</t>
        </is>
      </c>
    </row>
    <row r="13" ht="20" customHeight="1">
      <c r="A13" s="8" t="inlineStr">
        <is>
          <t>EMP-010</t>
        </is>
      </c>
      <c r="B13" s="9" t="inlineStr">
        <is>
          <t>Oscar Mendez</t>
        </is>
      </c>
      <c r="C13" s="9" t="inlineStr">
        <is>
          <t>Platform Eng</t>
        </is>
      </c>
      <c r="D13" s="8" t="inlineStr">
        <is>
          <t>Junior Eng</t>
        </is>
      </c>
      <c r="E13" s="8" t="inlineStr">
        <is>
          <t>Remote - TX</t>
        </is>
      </c>
      <c r="F13" s="8" t="inlineStr">
        <is>
          <t>2025-01-06</t>
        </is>
      </c>
      <c r="G13" s="10" t="n">
        <v>112000</v>
      </c>
      <c r="H13" s="12" t="inlineStr">
        <is>
          <t>Meets</t>
        </is>
      </c>
    </row>
    <row r="14" ht="22" customHeight="1">
      <c r="A14" s="13" t="inlineStr">
        <is>
          <t>TOTAL HEADCOUNT / TOTAL SALARY BUDGET</t>
        </is>
      </c>
      <c r="G14" s="14">
        <f>SUM(G4:G13)</f>
        <v/>
      </c>
      <c r="H14" s="15">
        <f>COUNTA(B4:B13)</f>
        <v/>
      </c>
    </row>
  </sheetData>
  <mergeCells count="3">
    <mergeCell ref="A14:F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3" customWidth="1" min="4" max="4"/>
    <col width="13" customWidth="1" min="5" max="5"/>
    <col width="12" customWidth="1" min="6" max="6"/>
    <col width="13" customWidth="1" min="7" max="7"/>
    <col width="14" customWidth="1" min="8" max="8"/>
    <col width="20" customWidth="1" min="9" max="9"/>
    <col width="28" customWidth="1" min="10" max="10"/>
  </cols>
  <sheetData>
    <row r="1" ht="26" customHeight="1">
      <c r="A1" s="16" t="inlineStr">
        <is>
          <t>LEAVE TRACKER — 2026</t>
        </is>
      </c>
    </row>
    <row r="2" ht="26" customHeight="1">
      <c r="A2" s="3" t="inlineStr">
        <is>
          <t>Employee</t>
        </is>
      </c>
      <c r="B2" s="3" t="inlineStr">
        <is>
          <t>Department</t>
        </is>
      </c>
      <c r="C2" s="3" t="inlineStr">
        <is>
          <t>Leave Type</t>
        </is>
      </c>
      <c r="D2" s="3" t="inlineStr">
        <is>
          <t>Start Date</t>
        </is>
      </c>
      <c r="E2" s="3" t="inlineStr">
        <is>
          <t>End Date</t>
        </is>
      </c>
      <c r="F2" s="3" t="inlineStr">
        <is>
          <t>Days Taken</t>
        </is>
      </c>
      <c r="G2" s="3" t="inlineStr">
        <is>
          <t>Days Balance</t>
        </is>
      </c>
      <c r="H2" s="3" t="inlineStr">
        <is>
          <t>Status</t>
        </is>
      </c>
      <c r="I2" s="3" t="inlineStr">
        <is>
          <t>Manager</t>
        </is>
      </c>
      <c r="J2" s="3" t="inlineStr">
        <is>
          <t>Notes</t>
        </is>
      </c>
    </row>
    <row r="3" ht="22" customHeight="1">
      <c r="A3" s="17" t="inlineStr">
        <is>
          <t>Sarah Chen</t>
        </is>
      </c>
      <c r="B3" s="17" t="inlineStr">
        <is>
          <t>Platform Eng</t>
        </is>
      </c>
      <c r="C3" s="17" t="inlineStr">
        <is>
          <t>Annual Leave</t>
        </is>
      </c>
      <c r="D3" s="18" t="inlineStr">
        <is>
          <t>2026-07-14</t>
        </is>
      </c>
      <c r="E3" s="18" t="inlineStr">
        <is>
          <t>2026-07-18</t>
        </is>
      </c>
      <c r="F3" s="19" t="n">
        <v>5</v>
      </c>
      <c r="G3" s="19" t="n">
        <v>20</v>
      </c>
      <c r="H3" s="7" t="inlineStr">
        <is>
          <t>Approved</t>
        </is>
      </c>
      <c r="I3" s="17" t="inlineStr">
        <is>
          <t>Raj Patel</t>
        </is>
      </c>
      <c r="J3" s="17" t="inlineStr">
        <is>
          <t>Summer holiday</t>
        </is>
      </c>
    </row>
    <row r="4" ht="22" customHeight="1">
      <c r="A4" s="20" t="inlineStr">
        <is>
          <t>Marcus Obi</t>
        </is>
      </c>
      <c r="B4" s="20" t="inlineStr">
        <is>
          <t>Platform Eng</t>
        </is>
      </c>
      <c r="C4" s="20" t="inlineStr">
        <is>
          <t>Parental Leave</t>
        </is>
      </c>
      <c r="D4" s="21" t="inlineStr">
        <is>
          <t>2026-08-01</t>
        </is>
      </c>
      <c r="E4" s="21" t="inlineStr">
        <is>
          <t>2026-10-24</t>
        </is>
      </c>
      <c r="F4" s="22" t="n">
        <v>60</v>
      </c>
      <c r="G4" s="22" t="n">
        <v>60</v>
      </c>
      <c r="H4" s="7" t="inlineStr">
        <is>
          <t>Approved</t>
        </is>
      </c>
      <c r="I4" s="20" t="inlineStr">
        <is>
          <t>Raj Patel</t>
        </is>
      </c>
      <c r="J4" s="20" t="inlineStr">
        <is>
          <t>Birth of first child — FMLA + CFRA</t>
        </is>
      </c>
    </row>
    <row r="5" ht="22" customHeight="1">
      <c r="A5" s="17" t="inlineStr">
        <is>
          <t>Priya Sharma</t>
        </is>
      </c>
      <c r="B5" s="17" t="inlineStr">
        <is>
          <t>Data Science</t>
        </is>
      </c>
      <c r="C5" s="17" t="inlineStr">
        <is>
          <t>Sick Leave</t>
        </is>
      </c>
      <c r="D5" s="18" t="inlineStr">
        <is>
          <t>2026-06-10</t>
        </is>
      </c>
      <c r="E5" s="18" t="inlineStr">
        <is>
          <t>2026-06-12</t>
        </is>
      </c>
      <c r="F5" s="19" t="n">
        <v>3</v>
      </c>
      <c r="G5" s="19" t="n">
        <v>7</v>
      </c>
      <c r="H5" s="7" t="inlineStr">
        <is>
          <t>Approved</t>
        </is>
      </c>
      <c r="I5" s="17" t="inlineStr">
        <is>
          <t>Chen Jing</t>
        </is>
      </c>
      <c r="J5" s="17" t="inlineStr">
        <is>
          <t>Physician note on file</t>
        </is>
      </c>
    </row>
    <row r="6" ht="22" customHeight="1">
      <c r="A6" s="20" t="inlineStr">
        <is>
          <t>James O'Brien</t>
        </is>
      </c>
      <c r="B6" s="20" t="inlineStr">
        <is>
          <t>Security</t>
        </is>
      </c>
      <c r="C6" s="20" t="inlineStr">
        <is>
          <t>Annual Leave</t>
        </is>
      </c>
      <c r="D6" s="21" t="inlineStr">
        <is>
          <t>2026-09-01</t>
        </is>
      </c>
      <c r="E6" s="21" t="inlineStr">
        <is>
          <t>2026-09-05</t>
        </is>
      </c>
      <c r="F6" s="22" t="n">
        <v>5</v>
      </c>
      <c r="G6" s="22" t="n">
        <v>15</v>
      </c>
      <c r="H6" s="12" t="inlineStr">
        <is>
          <t>Pending</t>
        </is>
      </c>
      <c r="I6" s="20" t="inlineStr">
        <is>
          <t>Emma Wilson</t>
        </is>
      </c>
      <c r="J6" s="20" t="inlineStr">
        <is>
          <t>Pre-approved verbally</t>
        </is>
      </c>
    </row>
    <row r="7" ht="22" customHeight="1">
      <c r="A7" s="17" t="inlineStr">
        <is>
          <t>Liu Wei</t>
        </is>
      </c>
      <c r="B7" s="17" t="inlineStr">
        <is>
          <t>Platform Eng</t>
        </is>
      </c>
      <c r="C7" s="17" t="inlineStr">
        <is>
          <t>Annual Leave</t>
        </is>
      </c>
      <c r="D7" s="18" t="inlineStr">
        <is>
          <t>2026-07-21</t>
        </is>
      </c>
      <c r="E7" s="18" t="inlineStr">
        <is>
          <t>2026-07-22</t>
        </is>
      </c>
      <c r="F7" s="19" t="n">
        <v>2</v>
      </c>
      <c r="G7" s="19" t="n">
        <v>13</v>
      </c>
      <c r="H7" s="7" t="inlineStr">
        <is>
          <t>Approved</t>
        </is>
      </c>
      <c r="I7" s="17" t="inlineStr">
        <is>
          <t>Raj Patel</t>
        </is>
      </c>
      <c r="J7" s="17" t="inlineStr"/>
    </row>
    <row r="8" ht="22" customHeight="1">
      <c r="A8" s="20" t="inlineStr">
        <is>
          <t>Amara Diallo</t>
        </is>
      </c>
      <c r="B8" s="20" t="inlineStr">
        <is>
          <t>Data Science</t>
        </is>
      </c>
      <c r="C8" s="20" t="inlineStr">
        <is>
          <t>FMLA - Medical</t>
        </is>
      </c>
      <c r="D8" s="21" t="inlineStr">
        <is>
          <t>2026-07-01</t>
        </is>
      </c>
      <c r="E8" s="21" t="inlineStr">
        <is>
          <t>2026-09-19</t>
        </is>
      </c>
      <c r="F8" s="22" t="n">
        <v>60</v>
      </c>
      <c r="G8" s="22" t="n">
        <v>60</v>
      </c>
      <c r="H8" s="7" t="inlineStr">
        <is>
          <t>Approved</t>
        </is>
      </c>
      <c r="I8" s="20" t="inlineStr">
        <is>
          <t>Chen Jing</t>
        </is>
      </c>
      <c r="J8" s="20" t="inlineStr">
        <is>
          <t>Ongoing treatment — monthly recertification</t>
        </is>
      </c>
    </row>
    <row r="9" ht="22" customHeight="1">
      <c r="A9" s="17" t="inlineStr">
        <is>
          <t>Raj Patel</t>
        </is>
      </c>
      <c r="B9" s="17" t="inlineStr">
        <is>
          <t>Platform Eng</t>
        </is>
      </c>
      <c r="C9" s="17" t="inlineStr">
        <is>
          <t>Annual Leave</t>
        </is>
      </c>
      <c r="D9" s="18" t="inlineStr">
        <is>
          <t>2026-08-11</t>
        </is>
      </c>
      <c r="E9" s="18" t="inlineStr">
        <is>
          <t>2026-08-15</t>
        </is>
      </c>
      <c r="F9" s="19" t="n">
        <v>5</v>
      </c>
      <c r="G9" s="19" t="n">
        <v>17</v>
      </c>
      <c r="H9" s="7" t="inlineStr">
        <is>
          <t>Approved</t>
        </is>
      </c>
      <c r="I9" s="17" t="inlineStr">
        <is>
          <t>Sarah Chen</t>
        </is>
      </c>
      <c r="J9" s="17" t="inlineStr"/>
    </row>
    <row r="10" ht="22" customHeight="1">
      <c r="A10" s="20" t="inlineStr">
        <is>
          <t>Oscar Mendez</t>
        </is>
      </c>
      <c r="B10" s="20" t="inlineStr">
        <is>
          <t>Platform Eng</t>
        </is>
      </c>
      <c r="C10" s="20" t="inlineStr">
        <is>
          <t>Bereavement</t>
        </is>
      </c>
      <c r="D10" s="21" t="inlineStr">
        <is>
          <t>2026-06-20</t>
        </is>
      </c>
      <c r="E10" s="21" t="inlineStr">
        <is>
          <t>2026-06-24</t>
        </is>
      </c>
      <c r="F10" s="22" t="n">
        <v>5</v>
      </c>
      <c r="G10" s="22" t="n">
        <v>5</v>
      </c>
      <c r="H10" s="7" t="inlineStr">
        <is>
          <t>Approved</t>
        </is>
      </c>
      <c r="I10" s="20" t="inlineStr">
        <is>
          <t>Raj Patel</t>
        </is>
      </c>
      <c r="J10" s="20" t="inlineStr">
        <is>
          <t>3 days + 2 days travel per policy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Q2 2026 — Engineering Budget vs Actual ($000s)</t>
        </is>
      </c>
    </row>
    <row r="2" ht="26" customHeight="1">
      <c r="A2" s="3" t="inlineStr">
        <is>
          <t>Category</t>
        </is>
      </c>
      <c r="B2" s="3" t="inlineStr">
        <is>
          <t>Q2 Budget</t>
        </is>
      </c>
      <c r="C2" s="3" t="inlineStr">
        <is>
          <t>Q2 Actual</t>
        </is>
      </c>
      <c r="D2" s="3" t="inlineStr">
        <is>
          <t>Variance $</t>
        </is>
      </c>
      <c r="E2" s="3" t="inlineStr">
        <is>
          <t>Variance %</t>
        </is>
      </c>
      <c r="F2" s="3" t="inlineStr">
        <is>
          <t>YTD Budget</t>
        </is>
      </c>
      <c r="G2" s="3" t="inlineStr">
        <is>
          <t>YTD Actual</t>
        </is>
      </c>
    </row>
    <row r="3" ht="22" customHeight="1">
      <c r="A3" s="23" t="inlineStr">
        <is>
          <t>Salaries &amp; Benefits</t>
        </is>
      </c>
      <c r="B3" s="24" t="n">
        <v>1850</v>
      </c>
      <c r="C3" s="24" t="n">
        <v>1923</v>
      </c>
      <c r="D3" s="25">
        <f>C3-B3</f>
        <v/>
      </c>
      <c r="E3" s="26">
        <f>IF(B3=0,0,(C3-B3)/B3)</f>
        <v/>
      </c>
      <c r="F3" s="24" t="n">
        <v>3650</v>
      </c>
      <c r="G3" s="24" t="n">
        <v>3741</v>
      </c>
    </row>
    <row r="4" ht="22" customHeight="1">
      <c r="A4" s="27" t="inlineStr">
        <is>
          <t>Cloud Infrastructure</t>
        </is>
      </c>
      <c r="B4" s="28" t="n">
        <v>320</v>
      </c>
      <c r="C4" s="28" t="n">
        <v>298</v>
      </c>
      <c r="D4" s="29">
        <f>C4-B4</f>
        <v/>
      </c>
      <c r="E4" s="30">
        <f>IF(B4=0,0,(C4-B4)/B4)</f>
        <v/>
      </c>
      <c r="F4" s="28" t="n">
        <v>630</v>
      </c>
      <c r="G4" s="28" t="n">
        <v>594</v>
      </c>
    </row>
    <row r="5" ht="22" customHeight="1">
      <c r="A5" s="23" t="inlineStr">
        <is>
          <t>Software Licenses</t>
        </is>
      </c>
      <c r="B5" s="24" t="n">
        <v>85</v>
      </c>
      <c r="C5" s="24" t="n">
        <v>91</v>
      </c>
      <c r="D5" s="25">
        <f>C5-B5</f>
        <v/>
      </c>
      <c r="E5" s="26">
        <f>IF(B5=0,0,(C5-B5)/B5)</f>
        <v/>
      </c>
      <c r="F5" s="24" t="n">
        <v>168</v>
      </c>
      <c r="G5" s="24" t="n">
        <v>178</v>
      </c>
    </row>
    <row r="6" ht="22" customHeight="1">
      <c r="A6" s="27" t="inlineStr">
        <is>
          <t>Training &amp; Conferences</t>
        </is>
      </c>
      <c r="B6" s="28" t="n">
        <v>45</v>
      </c>
      <c r="C6" s="28" t="n">
        <v>38</v>
      </c>
      <c r="D6" s="29">
        <f>C6-B6</f>
        <v/>
      </c>
      <c r="E6" s="30">
        <f>IF(B6=0,0,(C6-B6)/B6)</f>
        <v/>
      </c>
      <c r="F6" s="28" t="n">
        <v>88</v>
      </c>
      <c r="G6" s="28" t="n">
        <v>72</v>
      </c>
    </row>
    <row r="7" ht="22" customHeight="1">
      <c r="A7" s="23" t="inlineStr">
        <is>
          <t>Contractor / Consulting</t>
        </is>
      </c>
      <c r="B7" s="24" t="n">
        <v>220</v>
      </c>
      <c r="C7" s="24" t="n">
        <v>265</v>
      </c>
      <c r="D7" s="25">
        <f>C7-B7</f>
        <v/>
      </c>
      <c r="E7" s="26">
        <f>IF(B7=0,0,(C7-B7)/B7)</f>
        <v/>
      </c>
      <c r="F7" s="24" t="n">
        <v>410</v>
      </c>
      <c r="G7" s="24" t="n">
        <v>488</v>
      </c>
    </row>
    <row r="8" ht="22" customHeight="1">
      <c r="A8" s="27" t="inlineStr">
        <is>
          <t>Hardware &amp; Equipment</t>
        </is>
      </c>
      <c r="B8" s="28" t="n">
        <v>60</v>
      </c>
      <c r="C8" s="28" t="n">
        <v>44</v>
      </c>
      <c r="D8" s="29">
        <f>C8-B8</f>
        <v/>
      </c>
      <c r="E8" s="30">
        <f>IF(B8=0,0,(C8-B8)/B8)</f>
        <v/>
      </c>
      <c r="F8" s="28" t="n">
        <v>120</v>
      </c>
      <c r="G8" s="28" t="n">
        <v>98</v>
      </c>
    </row>
    <row r="9" ht="22" customHeight="1">
      <c r="A9" s="23" t="inlineStr">
        <is>
          <t>Travel &amp; Expenses</t>
        </is>
      </c>
      <c r="B9" s="24" t="n">
        <v>35</v>
      </c>
      <c r="C9" s="24" t="n">
        <v>29</v>
      </c>
      <c r="D9" s="25">
        <f>C9-B9</f>
        <v/>
      </c>
      <c r="E9" s="26">
        <f>IF(B9=0,0,(C9-B9)/B9)</f>
        <v/>
      </c>
      <c r="F9" s="24" t="n">
        <v>68</v>
      </c>
      <c r="G9" s="24" t="n">
        <v>55</v>
      </c>
    </row>
    <row r="10" ht="24" customHeight="1">
      <c r="A10" s="13" t="inlineStr">
        <is>
          <t>TOTAL</t>
        </is>
      </c>
      <c r="B10" s="31">
        <f>SUM(B3:B9)</f>
        <v/>
      </c>
      <c r="C10" s="31">
        <f>SUM(C3:C9)</f>
        <v/>
      </c>
      <c r="D10" s="32">
        <f>C10-B10</f>
        <v/>
      </c>
      <c r="E10" s="33">
        <f>IF(B10=0,0,(C10-B10)/B10)</f>
        <v/>
      </c>
      <c r="F10" s="31">
        <f>SUM(F3:F9)</f>
        <v/>
      </c>
      <c r="G10" s="31">
        <f>SUM(G3:G9)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2026-06-21T14:38:41Z</dcterms:created>
  <dcterms:modified xmlns:dcterms="http://purl.org/dc/terms/" xmlns:xsi="http://www.w3.org/2001/XMLSchema-instance" xsi:type="dcterms:W3CDTF">2026-06-21T14:38:41Z</dcterms:modified>
</cp:coreProperties>
</file>